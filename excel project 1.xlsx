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sar krunal\OneDrive\Documents\excel\"/>
    </mc:Choice>
  </mc:AlternateContent>
  <xr:revisionPtr revIDLastSave="0" documentId="8_{ECA590B6-8728-4255-9719-A398923B8FDF}" xr6:coauthVersionLast="47" xr6:coauthVersionMax="47" xr10:uidLastSave="{00000000-0000-0000-0000-000000000000}"/>
  <bookViews>
    <workbookView xWindow="-108" yWindow="-108" windowWidth="23256" windowHeight="12456" activeTab="2" xr2:uid="{476E0A02-6FE0-4263-A24B-0ED37C8DF0E3}"/>
  </bookViews>
  <sheets>
    <sheet name="Students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H2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26" i="2" a="1"/>
  <c r="G26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M8" i="3"/>
  <c r="K8" i="3"/>
  <c r="G5" i="3"/>
  <c r="G6" i="3"/>
  <c r="G7" i="3"/>
  <c r="G9" i="3"/>
  <c r="G10" i="3"/>
  <c r="G11" i="3"/>
  <c r="G12" i="3"/>
  <c r="G17" i="3"/>
  <c r="G18" i="3"/>
  <c r="G19" i="3"/>
  <c r="G21" i="3"/>
  <c r="G2" i="3"/>
  <c r="F3" i="3"/>
  <c r="G3" i="3" s="1"/>
  <c r="F4" i="3"/>
  <c r="G4" i="3" s="1"/>
  <c r="F5" i="3"/>
  <c r="F6" i="3"/>
  <c r="F7" i="3"/>
  <c r="F8" i="3"/>
  <c r="G8" i="3" s="1"/>
  <c r="F9" i="3"/>
  <c r="F10" i="3"/>
  <c r="F11" i="3"/>
  <c r="F12" i="3"/>
  <c r="F13" i="3"/>
  <c r="G13" i="3" s="1"/>
  <c r="F14" i="3"/>
  <c r="G14" i="3" s="1"/>
  <c r="F15" i="3"/>
  <c r="G15" i="3" s="1"/>
  <c r="F16" i="3"/>
  <c r="G16" i="3" s="1"/>
  <c r="F17" i="3"/>
  <c r="F18" i="3"/>
  <c r="F19" i="3"/>
  <c r="F20" i="3"/>
  <c r="G20" i="3" s="1"/>
  <c r="F21" i="3"/>
  <c r="F2" i="3"/>
  <c r="Q8" i="3"/>
  <c r="O8" i="3"/>
  <c r="G26" i="1" a="1"/>
  <c r="G26" i="1" s="1"/>
  <c r="F26" i="1" a="1"/>
  <c r="F26" i="1" s="1"/>
  <c r="D26" i="1"/>
  <c r="I3" i="3"/>
  <c r="K2" i="3"/>
  <c r="K5" i="3"/>
  <c r="P5" i="3"/>
  <c r="O5" i="3"/>
  <c r="N5" i="3"/>
  <c r="M5" i="3"/>
  <c r="L5" i="3"/>
  <c r="J5" i="3"/>
  <c r="I5" i="3"/>
  <c r="F26" i="2"/>
  <c r="I26" i="2"/>
  <c r="B26" i="2"/>
  <c r="D26" i="2"/>
  <c r="E26" i="2"/>
  <c r="C26" i="1"/>
  <c r="B26" i="1"/>
  <c r="A2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G3" i="1"/>
  <c r="J3" i="1" s="1"/>
  <c r="G4" i="1"/>
  <c r="J4" i="1" s="1"/>
  <c r="G5" i="1"/>
  <c r="I5" i="1" s="1"/>
  <c r="G6" i="1"/>
  <c r="I6" i="1" s="1"/>
  <c r="G7" i="1"/>
  <c r="J7" i="1" s="1"/>
  <c r="G8" i="1"/>
  <c r="J8" i="1" s="1"/>
  <c r="G9" i="1"/>
  <c r="I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I17" i="1" s="1"/>
  <c r="G18" i="1"/>
  <c r="I18" i="1" s="1"/>
  <c r="G19" i="1"/>
  <c r="I19" i="1" s="1"/>
  <c r="G20" i="1"/>
  <c r="J20" i="1" s="1"/>
  <c r="G21" i="1"/>
  <c r="I21" i="1" s="1"/>
  <c r="G2" i="1"/>
  <c r="M2" i="1"/>
  <c r="I8" i="3"/>
  <c r="I2" i="3"/>
  <c r="J26" i="2" a="1"/>
  <c r="J21" i="1" l="1"/>
  <c r="J9" i="1"/>
  <c r="I2" i="1"/>
  <c r="I10" i="1"/>
  <c r="I13" i="1"/>
  <c r="I12" i="1"/>
  <c r="I11" i="1"/>
  <c r="J26" i="2"/>
  <c r="J19" i="1"/>
  <c r="I20" i="1"/>
  <c r="I4" i="1"/>
  <c r="I8" i="1"/>
  <c r="I7" i="1"/>
  <c r="I3" i="1"/>
  <c r="I16" i="1"/>
  <c r="I15" i="1"/>
  <c r="I14" i="1"/>
  <c r="J6" i="1"/>
  <c r="J18" i="1"/>
  <c r="J17" i="1"/>
  <c r="J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<sst xmlns="http://schemas.openxmlformats.org/spreadsheetml/2006/main" count="182" uniqueCount="133">
  <si>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</si>
  <si>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</si>
  <si>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</si>
  <si>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</si>
  <si>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</si>
  <si>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</si>
  <si>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</si>
  <si>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</si>
  <si>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</si>
  <si>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</si>
  <si>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</si>
  <si>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</si>
  <si>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</si>
  <si>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</si>
  <si>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</si>
  <si>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</si>
  <si>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</si>
  <si>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</si>
  <si>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</si>
  <si>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</si>
  <si>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</si>
  <si>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</si>
  <si>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</si>
  <si>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</si>
  <si>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</si>
  <si>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</si>
  <si>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</si>
  <si>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</si>
  <si>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</si>
  <si>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</si>
  <si>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</si>
  <si>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</si>
  <si>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</si>
  <si>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</si>
  <si>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</si>
  <si>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</si>
  <si>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</si>
  <si>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</si>
  <si>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</si>
  <si>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</si>
  <si>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</si>
  <si>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</si>
  <si>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</si>
  <si>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</si>
  <si>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</si>
  <si>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</si>
  <si>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</si>
  <si>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</si>
  <si>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</si>
  <si>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</si>
  <si>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</si>
  <si>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</si>
  <si>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</si>
  <si>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</si>
  <si>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</si>
  <si>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</si>
  <si>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</si>
  <si>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</si>
  <si>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</si>
  <si>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</si>
  <si>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</si>
  <si>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</si>
  <si>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</si>
  <si>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</si>
  <si>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</si>
  <si>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</si>
  <si>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</si>
  <si>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</si>
  <si>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</si>
  <si>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</si>
  <si>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</si>
  <si>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</si>
  <si>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</si>
  <si>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</si>
  <si>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</si>
  <si>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</si>
  <si>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</si>
  <si>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</si>
  <si>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</si>
  <si>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</si>
  <si>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</si>
  <si>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</si>
  <si>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</si>
  <si>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</si>
  <si>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</si>
  <si>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</si>
  <si>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</si>
  <si>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</si>
  <si>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</si>
  <si>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</si>
  <si>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Grade</t>
  </si>
  <si>
    <t>E2</t>
  </si>
  <si>
    <t>Result</t>
  </si>
  <si>
    <t>Students With Math&gt;60</t>
  </si>
  <si>
    <t>IF with AND</t>
  </si>
  <si>
    <t>Average</t>
  </si>
  <si>
    <t>Age</t>
  </si>
  <si>
    <t>LEFT</t>
  </si>
  <si>
    <t>UPPER</t>
  </si>
  <si>
    <t>LOWER</t>
  </si>
  <si>
    <t>XMATCH-Position of Product</t>
  </si>
  <si>
    <t>INDIRECT Function</t>
  </si>
  <si>
    <t>OFFSET Function</t>
  </si>
  <si>
    <t>ROUND</t>
  </si>
  <si>
    <t>INDIRACT Function</t>
  </si>
  <si>
    <t>VLOOKUP Function</t>
  </si>
  <si>
    <t>TEXT</t>
  </si>
  <si>
    <t>F3-F2</t>
  </si>
  <si>
    <t>XLOOKUP Function</t>
  </si>
  <si>
    <t>INDEX Function</t>
  </si>
  <si>
    <t>SUMIFC Fuction</t>
  </si>
  <si>
    <t>COUNTIFC Fuction</t>
  </si>
  <si>
    <t>COUNTIFC Fuction IT</t>
  </si>
  <si>
    <t>AVARAGEIFC Function</t>
  </si>
  <si>
    <t>DATEIFC Fuaction</t>
  </si>
  <si>
    <t>D2+H2</t>
  </si>
  <si>
    <t>DATE</t>
  </si>
  <si>
    <t>XLOOKUP Fuc</t>
  </si>
  <si>
    <t>FIND</t>
  </si>
  <si>
    <t>INDIRECT</t>
  </si>
  <si>
    <t>A2</t>
  </si>
  <si>
    <t>FILTER Function</t>
  </si>
  <si>
    <t>FILTER STUDENT RECODE</t>
  </si>
  <si>
    <t>INDEX + MATCH SALARY</t>
  </si>
  <si>
    <t>INDEX + MATCH DEPARTMENT</t>
  </si>
  <si>
    <t>DEPARMENT TOTAL SALARY</t>
  </si>
  <si>
    <t>HR DEPT_TOTAL SALARY</t>
  </si>
  <si>
    <t>Bonus</t>
  </si>
  <si>
    <t>Salary + bonus</t>
  </si>
  <si>
    <t>Discount Amount</t>
  </si>
  <si>
    <t>Discount Eligible</t>
  </si>
  <si>
    <t>Celling Amount</t>
  </si>
  <si>
    <t>Floor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</si>
</sst>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7" formatCode="[$₹-4009]\ #,##0.00;[Red][$₹-4009]\ \-#,##0.00"/>
    <numFmt numFmtId="168" formatCode="_ [$₹-4009]\ * #,##0.00_ ;_ [$₹-4009]\ * \-#,##0.00_ ;_ [$₹-4009]\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6A42C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 wrapText="1"/>
    </xf>
    <xf numFmtId="22" fontId="2" fillId="0" borderId="6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2" fontId="2" fillId="0" borderId="7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11" xfId="0" applyBorder="1"/>
    <xf numFmtId="0" fontId="1" fillId="2" borderId="9" xfId="0" applyFont="1" applyFill="1" applyBorder="1" applyAlignment="1">
      <alignment horizontal="center" vertical="center" wrapText="1"/>
    </xf>
    <xf numFmtId="22" fontId="2" fillId="0" borderId="21" xfId="0" applyNumberFormat="1" applyFont="1" applyBorder="1" applyAlignment="1">
      <alignment horizontal="center" vertical="center" wrapText="1"/>
    </xf>
    <xf numFmtId="22" fontId="2" fillId="0" borderId="11" xfId="0" applyNumberFormat="1" applyFont="1" applyBorder="1" applyAlignment="1">
      <alignment horizontal="center" vertical="center" wrapText="1"/>
    </xf>
    <xf numFmtId="22" fontId="2" fillId="0" borderId="1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7" xfId="0" applyNumberFormat="1" applyBorder="1"/>
    <xf numFmtId="0" fontId="2" fillId="0" borderId="7" xfId="0" applyFont="1" applyFill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2" fontId="0" fillId="0" borderId="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0" fillId="0" borderId="7" xfId="1" applyNumberFormat="1" applyFont="1" applyBorder="1"/>
    <xf numFmtId="0" fontId="6" fillId="3" borderId="1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168" fontId="2" fillId="0" borderId="6" xfId="0" applyNumberFormat="1" applyFont="1" applyBorder="1" applyAlignment="1">
      <alignment horizontal="center" vertical="center" wrapText="1"/>
    </xf>
    <xf numFmtId="168" fontId="2" fillId="0" borderId="4" xfId="0" applyNumberFormat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Table Style 1" pivot="0" count="0" xr9:uid="{915D3BB6-0E2A-4569-86A6-BF009C33F801}"/>
  </tableStyles>
  <colors>
    <mruColors>
      <color rgb="FF46A4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9FD-9889-486F-B3B5-90487814487C}">
  <dimension ref="A1:M35"/>
  <sheetViews>
    <sheetView topLeftCell="A23" zoomScale="85" zoomScaleNormal="85" workbookViewId="0">
      <selection activeCell="J2" sqref="J2"/>
    </sheetView>
  </sheetViews>
  <sheetFormatPr defaultRowHeight="14.4" x14ac:dyDescent="0.3"/>
  <cols>
    <col min="2" max="2" width="11.21875" customWidth="1"/>
    <col min="6" max="6" width="16.44140625" customWidth="1"/>
    <col min="8" max="8" width="9.88671875" bestFit="1" customWidth="1"/>
    <col min="9" max="9" width="6.21875" bestFit="1" customWidth="1"/>
    <col min="11" max="11" width="6.77734375" bestFit="1" customWidth="1"/>
    <col min="12" max="12" width="11.44140625" customWidth="1"/>
  </cols>
  <sheetData>
    <row r="1" spans="1:13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9" t="s">
        <v>89</v>
      </c>
      <c r="H1" s="39" t="s">
        <v>95</v>
      </c>
      <c r="I1" s="39" t="s">
        <v>90</v>
      </c>
      <c r="J1" s="39" t="s">
        <v>92</v>
      </c>
      <c r="K1" s="39" t="s">
        <v>96</v>
      </c>
      <c r="L1" s="39" t="s">
        <v>94</v>
      </c>
      <c r="M1" s="38" t="s">
        <v>93</v>
      </c>
    </row>
    <row r="2" spans="1:13" ht="15" thickBot="1" x14ac:dyDescent="0.35">
      <c r="A2" s="9">
        <v>1001</v>
      </c>
      <c r="B2" s="9" t="s">
        <v>6</v>
      </c>
      <c r="C2" s="9">
        <v>61</v>
      </c>
      <c r="D2" s="9">
        <v>48</v>
      </c>
      <c r="E2" s="9">
        <v>76</v>
      </c>
      <c r="F2" s="10">
        <v>43101</v>
      </c>
      <c r="G2" s="11">
        <f>SUM(C2:E2)</f>
        <v>185</v>
      </c>
      <c r="H2" s="11">
        <f>ROUND(AVERAGE(C2:E2),2)</f>
        <v>61.67</v>
      </c>
      <c r="I2" s="11" t="str">
        <f>IF(G2&gt;=240,"A",IF(G2&gt;=180,"B",IF(G2&gt;=120,"C","D")))</f>
        <v>B</v>
      </c>
      <c r="J2" s="11" t="str">
        <f>IF(G2&gt;=150,"Pass","Fail")</f>
        <v>Pass</v>
      </c>
      <c r="K2" s="11">
        <f ca="1">DATEDIF(F2,TODAY(),"Y")</f>
        <v>8</v>
      </c>
      <c r="L2" s="14" t="str">
        <f>IF(OR(C2&gt;=80,D2&gt;=80),"Egiible","Not Eligible")</f>
        <v>Not Eligible</v>
      </c>
      <c r="M2" s="7">
        <f>COUNTIFS(C2:C21,"&gt;60")</f>
        <v>19</v>
      </c>
    </row>
    <row r="3" spans="1:13" ht="15" thickBot="1" x14ac:dyDescent="0.35">
      <c r="A3" s="9">
        <v>1002</v>
      </c>
      <c r="B3" s="9" t="s">
        <v>7</v>
      </c>
      <c r="C3" s="9">
        <v>78</v>
      </c>
      <c r="D3" s="9">
        <v>76</v>
      </c>
      <c r="E3" s="9">
        <v>70</v>
      </c>
      <c r="F3" s="10">
        <v>43281</v>
      </c>
      <c r="G3" s="11">
        <f t="shared" ref="G3:G21" si="0">SUM(C3:E3)</f>
        <v>224</v>
      </c>
      <c r="H3" s="11">
        <f t="shared" ref="H3:H21" si="1">ROUND(AVERAGE(C3:E3),2)</f>
        <v>74.67</v>
      </c>
      <c r="I3" s="11" t="str">
        <f t="shared" ref="I3:I21" si="2">IF(G3&gt;=240,"A",IF(G3&gt;=180,"B",IF(G3&gt;=120,"C","D")))</f>
        <v>B</v>
      </c>
      <c r="J3" s="11" t="str">
        <f t="shared" ref="J3:J21" si="3">IF(G3&gt;=150,"Pass","Fail")</f>
        <v>Pass</v>
      </c>
      <c r="K3" s="11">
        <f t="shared" ref="K3:K21" ca="1" si="4">DATEDIF(F3,TODAY(),"Y")</f>
        <v>8</v>
      </c>
      <c r="L3" s="12" t="str">
        <f t="shared" ref="L3:L21" si="5">IF(OR(C3&gt;=80,D3&gt;=80),"Egiible","Not Eligible")</f>
        <v>Not Eligible</v>
      </c>
    </row>
    <row r="4" spans="1:13" ht="15" thickBot="1" x14ac:dyDescent="0.35">
      <c r="A4" s="9">
        <v>1003</v>
      </c>
      <c r="B4" s="9" t="s">
        <v>8</v>
      </c>
      <c r="C4" s="9">
        <v>97</v>
      </c>
      <c r="D4" s="9">
        <v>60</v>
      </c>
      <c r="E4" s="9">
        <v>51</v>
      </c>
      <c r="F4" s="10">
        <v>43461</v>
      </c>
      <c r="G4" s="11">
        <f t="shared" si="0"/>
        <v>208</v>
      </c>
      <c r="H4" s="11">
        <f t="shared" si="1"/>
        <v>69.33</v>
      </c>
      <c r="I4" s="11" t="str">
        <f t="shared" si="2"/>
        <v>B</v>
      </c>
      <c r="J4" s="11" t="str">
        <f t="shared" si="3"/>
        <v>Pass</v>
      </c>
      <c r="K4" s="11">
        <f t="shared" ca="1" si="4"/>
        <v>7</v>
      </c>
      <c r="L4" s="12" t="str">
        <f t="shared" si="5"/>
        <v>Egiible</v>
      </c>
    </row>
    <row r="5" spans="1:13" ht="15" thickBot="1" x14ac:dyDescent="0.35">
      <c r="A5" s="9">
        <v>1004</v>
      </c>
      <c r="B5" s="9" t="s">
        <v>9</v>
      </c>
      <c r="C5" s="9">
        <v>74</v>
      </c>
      <c r="D5" s="9">
        <v>55</v>
      </c>
      <c r="E5" s="9">
        <v>46</v>
      </c>
      <c r="F5" s="10">
        <v>43641</v>
      </c>
      <c r="G5" s="11">
        <f t="shared" si="0"/>
        <v>175</v>
      </c>
      <c r="H5" s="11">
        <f t="shared" si="1"/>
        <v>58.33</v>
      </c>
      <c r="I5" s="11" t="str">
        <f t="shared" si="2"/>
        <v>C</v>
      </c>
      <c r="J5" s="11" t="str">
        <f t="shared" si="3"/>
        <v>Pass</v>
      </c>
      <c r="K5" s="11">
        <f t="shared" ca="1" si="4"/>
        <v>7</v>
      </c>
      <c r="L5" s="12" t="str">
        <f t="shared" si="5"/>
        <v>Not Eligible</v>
      </c>
    </row>
    <row r="6" spans="1:13" ht="15" thickBot="1" x14ac:dyDescent="0.35">
      <c r="A6" s="9">
        <v>1005</v>
      </c>
      <c r="B6" s="9" t="s">
        <v>10</v>
      </c>
      <c r="C6" s="9">
        <v>68</v>
      </c>
      <c r="D6" s="9">
        <v>74</v>
      </c>
      <c r="E6" s="9">
        <v>84</v>
      </c>
      <c r="F6" s="10">
        <v>43821</v>
      </c>
      <c r="G6" s="11">
        <f t="shared" si="0"/>
        <v>226</v>
      </c>
      <c r="H6" s="11">
        <f t="shared" si="1"/>
        <v>75.33</v>
      </c>
      <c r="I6" s="11" t="str">
        <f t="shared" si="2"/>
        <v>B</v>
      </c>
      <c r="J6" s="11" t="str">
        <f t="shared" si="3"/>
        <v>Pass</v>
      </c>
      <c r="K6" s="11">
        <f t="shared" ca="1" si="4"/>
        <v>6</v>
      </c>
      <c r="L6" s="12" t="str">
        <f t="shared" si="5"/>
        <v>Not Eligible</v>
      </c>
    </row>
    <row r="7" spans="1:13" ht="15" thickBot="1" x14ac:dyDescent="0.35">
      <c r="A7" s="9">
        <v>1006</v>
      </c>
      <c r="B7" s="9" t="s">
        <v>11</v>
      </c>
      <c r="C7" s="9">
        <v>80</v>
      </c>
      <c r="D7" s="9">
        <v>70</v>
      </c>
      <c r="E7" s="9">
        <v>65</v>
      </c>
      <c r="F7" s="10">
        <v>44001</v>
      </c>
      <c r="G7" s="11">
        <f t="shared" si="0"/>
        <v>215</v>
      </c>
      <c r="H7" s="11">
        <f t="shared" si="1"/>
        <v>71.67</v>
      </c>
      <c r="I7" s="11" t="str">
        <f t="shared" si="2"/>
        <v>B</v>
      </c>
      <c r="J7" s="11" t="str">
        <f t="shared" si="3"/>
        <v>Pass</v>
      </c>
      <c r="K7" s="11">
        <f t="shared" ca="1" si="4"/>
        <v>6</v>
      </c>
      <c r="L7" s="12" t="str">
        <f t="shared" si="5"/>
        <v>Egiible</v>
      </c>
    </row>
    <row r="8" spans="1:13" ht="15" thickBot="1" x14ac:dyDescent="0.35">
      <c r="A8" s="9">
        <v>1007</v>
      </c>
      <c r="B8" s="9" t="s">
        <v>12</v>
      </c>
      <c r="C8" s="9">
        <v>75</v>
      </c>
      <c r="D8" s="9">
        <v>47</v>
      </c>
      <c r="E8" s="9">
        <v>78</v>
      </c>
      <c r="F8" s="10">
        <v>44181</v>
      </c>
      <c r="G8" s="11">
        <f t="shared" si="0"/>
        <v>200</v>
      </c>
      <c r="H8" s="11">
        <f t="shared" si="1"/>
        <v>66.67</v>
      </c>
      <c r="I8" s="11" t="str">
        <f t="shared" si="2"/>
        <v>B</v>
      </c>
      <c r="J8" s="11" t="str">
        <f t="shared" si="3"/>
        <v>Pass</v>
      </c>
      <c r="K8" s="11">
        <f t="shared" ca="1" si="4"/>
        <v>5</v>
      </c>
      <c r="L8" s="12" t="str">
        <f t="shared" si="5"/>
        <v>Not Eligible</v>
      </c>
    </row>
    <row r="9" spans="1:13" ht="15" thickBot="1" x14ac:dyDescent="0.35">
      <c r="A9" s="9">
        <v>1008</v>
      </c>
      <c r="B9" s="9" t="s">
        <v>13</v>
      </c>
      <c r="C9" s="9">
        <v>94</v>
      </c>
      <c r="D9" s="9">
        <v>67</v>
      </c>
      <c r="E9" s="9">
        <v>64</v>
      </c>
      <c r="F9" s="10">
        <v>44361</v>
      </c>
      <c r="G9" s="11">
        <f t="shared" si="0"/>
        <v>225</v>
      </c>
      <c r="H9" s="11">
        <f t="shared" si="1"/>
        <v>75</v>
      </c>
      <c r="I9" s="11" t="str">
        <f t="shared" si="2"/>
        <v>B</v>
      </c>
      <c r="J9" s="11" t="str">
        <f t="shared" si="3"/>
        <v>Pass</v>
      </c>
      <c r="K9" s="11">
        <f t="shared" ca="1" si="4"/>
        <v>5</v>
      </c>
      <c r="L9" s="12" t="str">
        <f t="shared" si="5"/>
        <v>Egiible</v>
      </c>
    </row>
    <row r="10" spans="1:13" ht="15" thickBot="1" x14ac:dyDescent="0.35">
      <c r="A10" s="9">
        <v>1009</v>
      </c>
      <c r="B10" s="9" t="s">
        <v>14</v>
      </c>
      <c r="C10" s="9">
        <v>41</v>
      </c>
      <c r="D10" s="9">
        <v>75</v>
      </c>
      <c r="E10" s="9">
        <v>56</v>
      </c>
      <c r="F10" s="10">
        <v>44541</v>
      </c>
      <c r="G10" s="11">
        <f t="shared" si="0"/>
        <v>172</v>
      </c>
      <c r="H10" s="11">
        <f t="shared" si="1"/>
        <v>57.33</v>
      </c>
      <c r="I10" s="11" t="str">
        <f t="shared" si="2"/>
        <v>C</v>
      </c>
      <c r="J10" s="11" t="str">
        <f t="shared" si="3"/>
        <v>Pass</v>
      </c>
      <c r="K10" s="11">
        <f t="shared" ca="1" si="4"/>
        <v>4</v>
      </c>
      <c r="L10" s="12" t="str">
        <f t="shared" si="5"/>
        <v>Not Eligible</v>
      </c>
    </row>
    <row r="11" spans="1:13" ht="16.8" customHeight="1" thickBot="1" x14ac:dyDescent="0.35">
      <c r="A11" s="9">
        <v>1010</v>
      </c>
      <c r="B11" s="9" t="s">
        <v>15</v>
      </c>
      <c r="C11" s="9">
        <v>98</v>
      </c>
      <c r="D11" s="9">
        <v>54</v>
      </c>
      <c r="E11" s="9">
        <v>58</v>
      </c>
      <c r="F11" s="10">
        <v>44721</v>
      </c>
      <c r="G11" s="11">
        <f t="shared" si="0"/>
        <v>210</v>
      </c>
      <c r="H11" s="11">
        <f t="shared" si="1"/>
        <v>70</v>
      </c>
      <c r="I11" s="11" t="str">
        <f t="shared" si="2"/>
        <v>B</v>
      </c>
      <c r="J11" s="11" t="str">
        <f t="shared" si="3"/>
        <v>Pass</v>
      </c>
      <c r="K11" s="11">
        <f t="shared" ca="1" si="4"/>
        <v>4</v>
      </c>
      <c r="L11" s="12" t="str">
        <f t="shared" si="5"/>
        <v>Egiible</v>
      </c>
    </row>
    <row r="12" spans="1:13" ht="18" customHeight="1" thickBot="1" x14ac:dyDescent="0.35">
      <c r="A12" s="9">
        <v>1011</v>
      </c>
      <c r="B12" s="9" t="s">
        <v>16</v>
      </c>
      <c r="C12" s="9">
        <v>73</v>
      </c>
      <c r="D12" s="9">
        <v>79</v>
      </c>
      <c r="E12" s="9">
        <v>53</v>
      </c>
      <c r="F12" s="10">
        <v>44901</v>
      </c>
      <c r="G12" s="11">
        <f t="shared" si="0"/>
        <v>205</v>
      </c>
      <c r="H12" s="11">
        <f t="shared" si="1"/>
        <v>68.33</v>
      </c>
      <c r="I12" s="11" t="str">
        <f t="shared" si="2"/>
        <v>B</v>
      </c>
      <c r="J12" s="11" t="str">
        <f t="shared" si="3"/>
        <v>Pass</v>
      </c>
      <c r="K12" s="11">
        <f t="shared" ca="1" si="4"/>
        <v>3</v>
      </c>
      <c r="L12" s="12" t="str">
        <f t="shared" si="5"/>
        <v>Not Eligible</v>
      </c>
    </row>
    <row r="13" spans="1:13" ht="16.8" customHeight="1" thickBot="1" x14ac:dyDescent="0.35">
      <c r="A13" s="9">
        <v>1012</v>
      </c>
      <c r="B13" s="9" t="s">
        <v>17</v>
      </c>
      <c r="C13" s="9">
        <v>85</v>
      </c>
      <c r="D13" s="9">
        <v>89</v>
      </c>
      <c r="E13" s="9">
        <v>79</v>
      </c>
      <c r="F13" s="10">
        <v>45081</v>
      </c>
      <c r="G13" s="11">
        <f t="shared" si="0"/>
        <v>253</v>
      </c>
      <c r="H13" s="11">
        <f t="shared" si="1"/>
        <v>84.33</v>
      </c>
      <c r="I13" s="11" t="str">
        <f t="shared" si="2"/>
        <v>A</v>
      </c>
      <c r="J13" s="11" t="str">
        <f t="shared" si="3"/>
        <v>Pass</v>
      </c>
      <c r="K13" s="11">
        <f t="shared" ca="1" si="4"/>
        <v>3</v>
      </c>
      <c r="L13" s="12" t="str">
        <f t="shared" si="5"/>
        <v>Egiible</v>
      </c>
    </row>
    <row r="14" spans="1:13" ht="19.8" customHeight="1" thickBot="1" x14ac:dyDescent="0.35">
      <c r="A14" s="9">
        <v>1013</v>
      </c>
      <c r="B14" s="9" t="s">
        <v>18</v>
      </c>
      <c r="C14" s="9">
        <v>98</v>
      </c>
      <c r="D14" s="9">
        <v>90</v>
      </c>
      <c r="E14" s="9">
        <v>97</v>
      </c>
      <c r="F14" s="10">
        <v>45261</v>
      </c>
      <c r="G14" s="11">
        <f t="shared" si="0"/>
        <v>285</v>
      </c>
      <c r="H14" s="11">
        <f t="shared" si="1"/>
        <v>95</v>
      </c>
      <c r="I14" s="11" t="str">
        <f t="shared" si="2"/>
        <v>A</v>
      </c>
      <c r="J14" s="11" t="str">
        <f t="shared" si="3"/>
        <v>Pass</v>
      </c>
      <c r="K14" s="11">
        <f t="shared" ca="1" si="4"/>
        <v>2</v>
      </c>
      <c r="L14" s="12" t="str">
        <f t="shared" si="5"/>
        <v>Egiible</v>
      </c>
    </row>
    <row r="15" spans="1:13" ht="18" customHeight="1" thickBot="1" x14ac:dyDescent="0.35">
      <c r="A15" s="9">
        <v>1014</v>
      </c>
      <c r="B15" s="9" t="s">
        <v>19</v>
      </c>
      <c r="C15" s="9">
        <v>93</v>
      </c>
      <c r="D15" s="9">
        <v>40</v>
      </c>
      <c r="E15" s="9">
        <v>44</v>
      </c>
      <c r="F15" s="10">
        <v>45441</v>
      </c>
      <c r="G15" s="11">
        <f t="shared" si="0"/>
        <v>177</v>
      </c>
      <c r="H15" s="11">
        <f t="shared" si="1"/>
        <v>59</v>
      </c>
      <c r="I15" s="11" t="str">
        <f t="shared" si="2"/>
        <v>C</v>
      </c>
      <c r="J15" s="11" t="str">
        <f t="shared" si="3"/>
        <v>Pass</v>
      </c>
      <c r="K15" s="11">
        <f t="shared" ca="1" si="4"/>
        <v>2</v>
      </c>
      <c r="L15" s="12" t="str">
        <f t="shared" si="5"/>
        <v>Egiible</v>
      </c>
    </row>
    <row r="16" spans="1:13" ht="15.6" customHeight="1" thickBot="1" x14ac:dyDescent="0.35">
      <c r="A16" s="9">
        <v>1015</v>
      </c>
      <c r="B16" s="9" t="s">
        <v>20</v>
      </c>
      <c r="C16" s="9">
        <v>70</v>
      </c>
      <c r="D16" s="9">
        <v>51</v>
      </c>
      <c r="E16" s="9">
        <v>75</v>
      </c>
      <c r="F16" s="10">
        <v>45621</v>
      </c>
      <c r="G16" s="11">
        <f t="shared" si="0"/>
        <v>196</v>
      </c>
      <c r="H16" s="11">
        <f t="shared" si="1"/>
        <v>65.33</v>
      </c>
      <c r="I16" s="11" t="str">
        <f t="shared" si="2"/>
        <v>B</v>
      </c>
      <c r="J16" s="11" t="str">
        <f t="shared" si="3"/>
        <v>Pass</v>
      </c>
      <c r="K16" s="11">
        <f t="shared" ca="1" si="4"/>
        <v>1</v>
      </c>
      <c r="L16" s="12" t="str">
        <f t="shared" si="5"/>
        <v>Not Eligible</v>
      </c>
    </row>
    <row r="17" spans="1:12" ht="16.2" customHeight="1" thickBot="1" x14ac:dyDescent="0.35">
      <c r="A17" s="9">
        <v>1016</v>
      </c>
      <c r="B17" s="9" t="s">
        <v>21</v>
      </c>
      <c r="C17" s="9">
        <v>98</v>
      </c>
      <c r="D17" s="9">
        <v>77</v>
      </c>
      <c r="E17" s="9">
        <v>60</v>
      </c>
      <c r="F17" s="10">
        <v>45801</v>
      </c>
      <c r="G17" s="11">
        <f t="shared" si="0"/>
        <v>235</v>
      </c>
      <c r="H17" s="11">
        <f t="shared" si="1"/>
        <v>78.33</v>
      </c>
      <c r="I17" s="11" t="str">
        <f t="shared" si="2"/>
        <v>B</v>
      </c>
      <c r="J17" s="11" t="str">
        <f t="shared" si="3"/>
        <v>Pass</v>
      </c>
      <c r="K17" s="11">
        <f t="shared" ca="1" si="4"/>
        <v>1</v>
      </c>
      <c r="L17" s="12" t="str">
        <f t="shared" si="5"/>
        <v>Egiible</v>
      </c>
    </row>
    <row r="18" spans="1:12" ht="18.600000000000001" customHeight="1" thickBot="1" x14ac:dyDescent="0.35">
      <c r="A18" s="9">
        <v>1017</v>
      </c>
      <c r="B18" s="9" t="s">
        <v>22</v>
      </c>
      <c r="C18" s="9">
        <v>66</v>
      </c>
      <c r="D18" s="9">
        <v>59</v>
      </c>
      <c r="E18" s="9">
        <v>40</v>
      </c>
      <c r="F18" s="10">
        <v>45981</v>
      </c>
      <c r="G18" s="11">
        <f t="shared" si="0"/>
        <v>165</v>
      </c>
      <c r="H18" s="11">
        <f t="shared" si="1"/>
        <v>55</v>
      </c>
      <c r="I18" s="11" t="str">
        <f t="shared" si="2"/>
        <v>C</v>
      </c>
      <c r="J18" s="11" t="str">
        <f t="shared" si="3"/>
        <v>Pass</v>
      </c>
      <c r="K18" s="11">
        <f t="shared" ca="1" si="4"/>
        <v>0</v>
      </c>
      <c r="L18" s="12" t="str">
        <f t="shared" si="5"/>
        <v>Not Eligible</v>
      </c>
    </row>
    <row r="19" spans="1:12" ht="16.2" customHeight="1" thickBot="1" x14ac:dyDescent="0.35">
      <c r="A19" s="9">
        <v>1018</v>
      </c>
      <c r="B19" s="9" t="s">
        <v>23</v>
      </c>
      <c r="C19" s="9">
        <v>82</v>
      </c>
      <c r="D19" s="9">
        <v>48</v>
      </c>
      <c r="E19" s="9">
        <v>79</v>
      </c>
      <c r="F19" s="10">
        <v>46161</v>
      </c>
      <c r="G19" s="11">
        <f t="shared" si="0"/>
        <v>209</v>
      </c>
      <c r="H19" s="11">
        <f t="shared" si="1"/>
        <v>69.67</v>
      </c>
      <c r="I19" s="11" t="str">
        <f t="shared" si="2"/>
        <v>B</v>
      </c>
      <c r="J19" s="11" t="str">
        <f t="shared" si="3"/>
        <v>Pass</v>
      </c>
      <c r="K19" s="11">
        <f t="shared" ca="1" si="4"/>
        <v>0</v>
      </c>
      <c r="L19" s="12" t="str">
        <f t="shared" si="5"/>
        <v>Egiible</v>
      </c>
    </row>
    <row r="20" spans="1:12" ht="17.399999999999999" customHeight="1" thickBot="1" x14ac:dyDescent="0.35">
      <c r="A20" s="9">
        <v>1019</v>
      </c>
      <c r="B20" s="9" t="s">
        <v>24</v>
      </c>
      <c r="C20" s="9">
        <v>90</v>
      </c>
      <c r="D20" s="9">
        <v>78</v>
      </c>
      <c r="E20" s="9">
        <v>60</v>
      </c>
      <c r="F20" s="10">
        <v>46341</v>
      </c>
      <c r="G20" s="11">
        <f t="shared" si="0"/>
        <v>228</v>
      </c>
      <c r="H20" s="11">
        <f t="shared" si="1"/>
        <v>76</v>
      </c>
      <c r="I20" s="11" t="str">
        <f t="shared" si="2"/>
        <v>B</v>
      </c>
      <c r="J20" s="11" t="str">
        <f t="shared" si="3"/>
        <v>Pass</v>
      </c>
      <c r="K20" s="11" t="e">
        <f t="shared" ca="1" si="4"/>
        <v>#NUM!</v>
      </c>
      <c r="L20" s="12" t="str">
        <f t="shared" si="5"/>
        <v>Egiible</v>
      </c>
    </row>
    <row r="21" spans="1:12" ht="19.8" customHeight="1" thickBot="1" x14ac:dyDescent="0.35">
      <c r="A21" s="9">
        <v>1020</v>
      </c>
      <c r="B21" s="9" t="s">
        <v>25</v>
      </c>
      <c r="C21" s="9">
        <v>83</v>
      </c>
      <c r="D21" s="9">
        <v>92</v>
      </c>
      <c r="E21" s="9">
        <v>55</v>
      </c>
      <c r="F21" s="10">
        <v>46521</v>
      </c>
      <c r="G21" s="11">
        <f t="shared" si="0"/>
        <v>230</v>
      </c>
      <c r="H21" s="11">
        <f t="shared" si="1"/>
        <v>76.67</v>
      </c>
      <c r="I21" s="11" t="str">
        <f t="shared" si="2"/>
        <v>B</v>
      </c>
      <c r="J21" s="11" t="str">
        <f t="shared" si="3"/>
        <v>Pass</v>
      </c>
      <c r="K21" s="11" t="e">
        <f t="shared" ca="1" si="4"/>
        <v>#NUM!</v>
      </c>
      <c r="L21" s="12" t="str">
        <f t="shared" si="5"/>
        <v>Egiible</v>
      </c>
    </row>
    <row r="24" spans="1:12" ht="15" thickBot="1" x14ac:dyDescent="0.35"/>
    <row r="25" spans="1:12" ht="15" thickBot="1" x14ac:dyDescent="0.35">
      <c r="A25" s="42" t="s">
        <v>97</v>
      </c>
      <c r="B25" s="42" t="s">
        <v>98</v>
      </c>
      <c r="C25" s="40" t="s">
        <v>99</v>
      </c>
      <c r="D25" s="42" t="s">
        <v>118</v>
      </c>
      <c r="F25" s="40" t="s">
        <v>121</v>
      </c>
      <c r="G25" s="41" t="s">
        <v>122</v>
      </c>
      <c r="H25" s="41"/>
      <c r="I25" s="41"/>
      <c r="J25" s="41"/>
      <c r="K25" s="41"/>
      <c r="L25" s="41"/>
    </row>
    <row r="26" spans="1:12" ht="15" thickBot="1" x14ac:dyDescent="0.35">
      <c r="A26" s="12" t="str">
        <f>LEFT(B2,3)</f>
        <v>Stu</v>
      </c>
      <c r="B26" s="12" t="str">
        <f>UPPER(B2)</f>
        <v>STUDENT 1</v>
      </c>
      <c r="C26" s="12" t="str">
        <f>LOWER(B2)</f>
        <v>student 1</v>
      </c>
      <c r="D26" s="12">
        <f>FIND(" ",B2)</f>
        <v>8</v>
      </c>
      <c r="F26" s="22" t="str" cm="1">
        <f t="array" ref="F26:F35">_xlfn._xlws.FILTER(B2:B21,C2:C21&gt;80,"No Students Found")</f>
        <v>Student 3</v>
      </c>
      <c r="G26" s="22" cm="1">
        <f t="array" ref="G26:L35">_xlfn._xlws.FILTER(A2:F21,C2:C21&gt;80,"No Students Found")</f>
        <v>1003</v>
      </c>
      <c r="H26" s="22" t="str">
        <v>Student 3</v>
      </c>
      <c r="I26" s="22">
        <v>97</v>
      </c>
      <c r="J26" s="22">
        <v>60</v>
      </c>
      <c r="K26" s="22">
        <v>51</v>
      </c>
      <c r="L26" s="21">
        <v>43461</v>
      </c>
    </row>
    <row r="27" spans="1:12" ht="15" thickBot="1" x14ac:dyDescent="0.35">
      <c r="F27" s="22" t="str">
        <v>Student 8</v>
      </c>
      <c r="G27" s="22">
        <v>1008</v>
      </c>
      <c r="H27" s="22" t="str">
        <v>Student 8</v>
      </c>
      <c r="I27" s="22">
        <v>94</v>
      </c>
      <c r="J27" s="22">
        <v>67</v>
      </c>
      <c r="K27" s="22">
        <v>64</v>
      </c>
      <c r="L27" s="21">
        <v>44361</v>
      </c>
    </row>
    <row r="28" spans="1:12" ht="15" thickBot="1" x14ac:dyDescent="0.35">
      <c r="F28" s="22" t="str">
        <v>Student 10</v>
      </c>
      <c r="G28" s="22">
        <v>1010</v>
      </c>
      <c r="H28" s="22" t="str">
        <v>Student 10</v>
      </c>
      <c r="I28" s="22">
        <v>98</v>
      </c>
      <c r="J28" s="22">
        <v>54</v>
      </c>
      <c r="K28" s="22">
        <v>58</v>
      </c>
      <c r="L28" s="21">
        <v>44721</v>
      </c>
    </row>
    <row r="29" spans="1:12" ht="15" thickBot="1" x14ac:dyDescent="0.35">
      <c r="F29" s="22" t="str">
        <v>Student 12</v>
      </c>
      <c r="G29" s="22">
        <v>1012</v>
      </c>
      <c r="H29" s="22" t="str">
        <v>Student 12</v>
      </c>
      <c r="I29" s="22">
        <v>85</v>
      </c>
      <c r="J29" s="22">
        <v>89</v>
      </c>
      <c r="K29" s="22">
        <v>79</v>
      </c>
      <c r="L29" s="21">
        <v>45081</v>
      </c>
    </row>
    <row r="30" spans="1:12" ht="15" thickBot="1" x14ac:dyDescent="0.35">
      <c r="F30" s="22" t="str">
        <v>Student 13</v>
      </c>
      <c r="G30" s="22">
        <v>1013</v>
      </c>
      <c r="H30" s="22" t="str">
        <v>Student 13</v>
      </c>
      <c r="I30" s="22">
        <v>98</v>
      </c>
      <c r="J30" s="22">
        <v>90</v>
      </c>
      <c r="K30" s="22">
        <v>97</v>
      </c>
      <c r="L30" s="21">
        <v>45261</v>
      </c>
    </row>
    <row r="31" spans="1:12" ht="15" thickBot="1" x14ac:dyDescent="0.35">
      <c r="F31" s="22" t="str">
        <v>Student 14</v>
      </c>
      <c r="G31" s="22">
        <v>1014</v>
      </c>
      <c r="H31" s="22" t="str">
        <v>Student 14</v>
      </c>
      <c r="I31" s="22">
        <v>93</v>
      </c>
      <c r="J31" s="22">
        <v>40</v>
      </c>
      <c r="K31" s="22">
        <v>44</v>
      </c>
      <c r="L31" s="21">
        <v>45441</v>
      </c>
    </row>
    <row r="32" spans="1:12" ht="15" thickBot="1" x14ac:dyDescent="0.35">
      <c r="F32" s="22" t="str">
        <v>Student 16</v>
      </c>
      <c r="G32" s="22">
        <v>1016</v>
      </c>
      <c r="H32" s="22" t="str">
        <v>Student 16</v>
      </c>
      <c r="I32" s="22">
        <v>98</v>
      </c>
      <c r="J32" s="22">
        <v>77</v>
      </c>
      <c r="K32" s="22">
        <v>60</v>
      </c>
      <c r="L32" s="21">
        <v>45801</v>
      </c>
    </row>
    <row r="33" spans="6:12" ht="15" thickBot="1" x14ac:dyDescent="0.35">
      <c r="F33" s="22" t="str">
        <v>Student 18</v>
      </c>
      <c r="G33" s="22">
        <v>1018</v>
      </c>
      <c r="H33" s="22" t="str">
        <v>Student 18</v>
      </c>
      <c r="I33" s="22">
        <v>82</v>
      </c>
      <c r="J33" s="22">
        <v>48</v>
      </c>
      <c r="K33" s="22">
        <v>79</v>
      </c>
      <c r="L33" s="21">
        <v>46161</v>
      </c>
    </row>
    <row r="34" spans="6:12" ht="15" thickBot="1" x14ac:dyDescent="0.35">
      <c r="F34" s="22" t="str">
        <v>Student 19</v>
      </c>
      <c r="G34" s="22">
        <v>1019</v>
      </c>
      <c r="H34" s="22" t="str">
        <v>Student 19</v>
      </c>
      <c r="I34" s="22">
        <v>90</v>
      </c>
      <c r="J34" s="22">
        <v>78</v>
      </c>
      <c r="K34" s="22">
        <v>60</v>
      </c>
      <c r="L34" s="21">
        <v>46341</v>
      </c>
    </row>
    <row r="35" spans="6:12" ht="15" thickBot="1" x14ac:dyDescent="0.35">
      <c r="F35" s="22" t="str">
        <v>Student 20</v>
      </c>
      <c r="G35" s="22">
        <v>1020</v>
      </c>
      <c r="H35" s="22" t="str">
        <v>Student 20</v>
      </c>
      <c r="I35" s="22">
        <v>83</v>
      </c>
      <c r="J35" s="22">
        <v>92</v>
      </c>
      <c r="K35" s="22">
        <v>55</v>
      </c>
      <c r="L35" s="21">
        <v>46521</v>
      </c>
    </row>
  </sheetData>
  <mergeCells count="1">
    <mergeCell ref="G25:L25"/>
  </mergeCells>
  <pageMargins left="0.7" right="0.7" top="0.75" bottom="0.75" header="0.3" footer="0.3"/>
  <ignoredErrors>
    <ignoredError sqref="G2:G21 H2:H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5A70-57BA-47D7-A36C-DEC9C4FC6871}">
  <dimension ref="A1:Q33"/>
  <sheetViews>
    <sheetView zoomScale="98" zoomScaleNormal="98" workbookViewId="0">
      <selection activeCell="L6" sqref="L6"/>
    </sheetView>
  </sheetViews>
  <sheetFormatPr defaultRowHeight="14.4" x14ac:dyDescent="0.3"/>
  <cols>
    <col min="1" max="1" width="7.5546875" bestFit="1" customWidth="1"/>
    <col min="2" max="2" width="10.109375" bestFit="1" customWidth="1"/>
    <col min="4" max="4" width="11.21875" bestFit="1" customWidth="1"/>
    <col min="5" max="5" width="10.6640625" bestFit="1" customWidth="1"/>
    <col min="6" max="6" width="15" bestFit="1" customWidth="1"/>
    <col min="7" max="7" width="11.77734375" bestFit="1" customWidth="1"/>
    <col min="8" max="8" width="11.44140625" bestFit="1" customWidth="1"/>
    <col min="9" max="9" width="11.5546875" bestFit="1" customWidth="1"/>
    <col min="10" max="10" width="10" customWidth="1"/>
    <col min="11" max="12" width="11.33203125" customWidth="1"/>
    <col min="17" max="17" width="14.6640625" bestFit="1" customWidth="1"/>
  </cols>
  <sheetData>
    <row r="1" spans="1:17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3" t="s">
        <v>31</v>
      </c>
      <c r="G1" s="39" t="s">
        <v>129</v>
      </c>
      <c r="H1" s="39" t="s">
        <v>130</v>
      </c>
      <c r="I1" s="39" t="s">
        <v>131</v>
      </c>
      <c r="J1" s="39" t="s">
        <v>132</v>
      </c>
    </row>
    <row r="2" spans="1:17" ht="15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26">
        <v>7048</v>
      </c>
      <c r="F2" s="6">
        <v>44927</v>
      </c>
      <c r="G2" s="10" t="str">
        <f>IF(E2&gt;30000,"10%Discount",IF(E2&gt;15000,"5%Discount","No Discount"))</f>
        <v>No Discount</v>
      </c>
      <c r="H2" s="12" t="str">
        <f>IF(OR(C2="South",E2&gt;30000),"Eligbile","Not eligbile")</f>
        <v>Eligbile</v>
      </c>
      <c r="I2" s="24">
        <f>CEILING(E2,100)</f>
        <v>7100</v>
      </c>
      <c r="J2" s="12">
        <f>FLOOR(E2,100)</f>
        <v>7000</v>
      </c>
      <c r="Q2" s="10" t="s">
        <v>91</v>
      </c>
    </row>
    <row r="3" spans="1:17" ht="15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26">
        <v>17428</v>
      </c>
      <c r="F3" s="6">
        <v>44942</v>
      </c>
      <c r="G3" s="10" t="str">
        <f t="shared" ref="G3:G21" si="0">IF(E3&gt;30000,"10%Discount",IF(E3&gt;15000,"5%Discount","No Discount"))</f>
        <v>5%Discount</v>
      </c>
      <c r="H3" s="12" t="str">
        <f t="shared" ref="H3:H21" si="1">IF(OR(C3="South",E3&gt;30000),"Eligbile","Not eligbile")</f>
        <v>Not eligbile</v>
      </c>
      <c r="I3" s="24">
        <f t="shared" ref="I3:I21" si="2">CEILING(E3,100)</f>
        <v>17500</v>
      </c>
      <c r="J3" s="12">
        <f t="shared" ref="J3:J21" si="3">FLOOR(E3,100)</f>
        <v>17400</v>
      </c>
      <c r="Q3" s="10">
        <v>2001</v>
      </c>
    </row>
    <row r="4" spans="1:17" ht="15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26">
        <v>23672</v>
      </c>
      <c r="F4" s="6">
        <v>44957</v>
      </c>
      <c r="G4" s="10" t="str">
        <f t="shared" si="0"/>
        <v>5%Discount</v>
      </c>
      <c r="H4" s="12" t="str">
        <f t="shared" si="1"/>
        <v>Eligbile</v>
      </c>
      <c r="I4" s="24">
        <f t="shared" si="2"/>
        <v>23700</v>
      </c>
      <c r="J4" s="12">
        <f t="shared" si="3"/>
        <v>23600</v>
      </c>
    </row>
    <row r="5" spans="1:17" ht="15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26">
        <v>5264</v>
      </c>
      <c r="F5" s="6">
        <v>44972</v>
      </c>
      <c r="G5" s="10" t="str">
        <f t="shared" si="0"/>
        <v>No Discount</v>
      </c>
      <c r="H5" s="12" t="str">
        <f t="shared" si="1"/>
        <v>Not eligbile</v>
      </c>
      <c r="I5" s="24">
        <f t="shared" si="2"/>
        <v>5300</v>
      </c>
      <c r="J5" s="12">
        <f t="shared" si="3"/>
        <v>5200</v>
      </c>
    </row>
    <row r="6" spans="1:17" ht="15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26">
        <v>43388</v>
      </c>
      <c r="F6" s="6">
        <v>44987</v>
      </c>
      <c r="G6" s="10" t="str">
        <f t="shared" si="0"/>
        <v>10%Discount</v>
      </c>
      <c r="H6" s="12" t="str">
        <f t="shared" si="1"/>
        <v>Eligbile</v>
      </c>
      <c r="I6" s="24">
        <f t="shared" si="2"/>
        <v>43400</v>
      </c>
      <c r="J6" s="12">
        <f t="shared" si="3"/>
        <v>43300</v>
      </c>
    </row>
    <row r="7" spans="1:17" ht="15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26">
        <v>19757</v>
      </c>
      <c r="F7" s="6">
        <v>45002</v>
      </c>
      <c r="G7" s="10" t="str">
        <f t="shared" si="0"/>
        <v>5%Discount</v>
      </c>
      <c r="H7" s="12" t="str">
        <f t="shared" si="1"/>
        <v>Not eligbile</v>
      </c>
      <c r="I7" s="24">
        <f t="shared" si="2"/>
        <v>19800</v>
      </c>
      <c r="J7" s="12">
        <f t="shared" si="3"/>
        <v>19700</v>
      </c>
    </row>
    <row r="8" spans="1:17" ht="15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26">
        <v>32058</v>
      </c>
      <c r="F8" s="6">
        <v>45017</v>
      </c>
      <c r="G8" s="10" t="str">
        <f t="shared" si="0"/>
        <v>10%Discount</v>
      </c>
      <c r="H8" s="12" t="str">
        <f t="shared" si="1"/>
        <v>Eligbile</v>
      </c>
      <c r="I8" s="24">
        <f t="shared" si="2"/>
        <v>32100</v>
      </c>
      <c r="J8" s="12">
        <f t="shared" si="3"/>
        <v>32000</v>
      </c>
    </row>
    <row r="9" spans="1:17" ht="15" thickBot="1" x14ac:dyDescent="0.35">
      <c r="A9" s="3">
        <v>2008</v>
      </c>
      <c r="B9" s="4" t="s">
        <v>32</v>
      </c>
      <c r="C9" s="4" t="s">
        <v>40</v>
      </c>
      <c r="D9" s="4" t="s">
        <v>46</v>
      </c>
      <c r="E9" s="26">
        <v>46429</v>
      </c>
      <c r="F9" s="6">
        <v>45032</v>
      </c>
      <c r="G9" s="10" t="str">
        <f t="shared" si="0"/>
        <v>10%Discount</v>
      </c>
      <c r="H9" s="12" t="str">
        <f t="shared" si="1"/>
        <v>Eligbile</v>
      </c>
      <c r="I9" s="24">
        <f t="shared" si="2"/>
        <v>46500</v>
      </c>
      <c r="J9" s="12">
        <f t="shared" si="3"/>
        <v>46400</v>
      </c>
    </row>
    <row r="10" spans="1:17" ht="15" thickBot="1" x14ac:dyDescent="0.35">
      <c r="A10" s="3">
        <v>2009</v>
      </c>
      <c r="B10" s="4" t="s">
        <v>35</v>
      </c>
      <c r="C10" s="4" t="s">
        <v>40</v>
      </c>
      <c r="D10" s="4" t="s">
        <v>47</v>
      </c>
      <c r="E10" s="26">
        <v>19746</v>
      </c>
      <c r="F10" s="6">
        <v>45047</v>
      </c>
      <c r="G10" s="10" t="str">
        <f t="shared" si="0"/>
        <v>5%Discount</v>
      </c>
      <c r="H10" s="12" t="str">
        <f t="shared" si="1"/>
        <v>Not eligbile</v>
      </c>
      <c r="I10" s="24">
        <f t="shared" si="2"/>
        <v>19800</v>
      </c>
      <c r="J10" s="12">
        <f t="shared" si="3"/>
        <v>19700</v>
      </c>
    </row>
    <row r="11" spans="1:17" ht="17.399999999999999" customHeight="1" thickBot="1" x14ac:dyDescent="0.35">
      <c r="A11" s="3">
        <v>2010</v>
      </c>
      <c r="B11" s="4" t="s">
        <v>32</v>
      </c>
      <c r="C11" s="4" t="s">
        <v>33</v>
      </c>
      <c r="D11" s="4" t="s">
        <v>48</v>
      </c>
      <c r="E11" s="26">
        <v>35185</v>
      </c>
      <c r="F11" s="6">
        <v>45062</v>
      </c>
      <c r="G11" s="10" t="str">
        <f t="shared" si="0"/>
        <v>10%Discount</v>
      </c>
      <c r="H11" s="12" t="str">
        <f t="shared" si="1"/>
        <v>Eligbile</v>
      </c>
      <c r="I11" s="24">
        <f t="shared" si="2"/>
        <v>35200</v>
      </c>
      <c r="J11" s="12">
        <f t="shared" si="3"/>
        <v>35100</v>
      </c>
    </row>
    <row r="12" spans="1:17" ht="18" customHeight="1" thickBot="1" x14ac:dyDescent="0.35">
      <c r="A12" s="3">
        <v>2011</v>
      </c>
      <c r="B12" s="4" t="s">
        <v>32</v>
      </c>
      <c r="C12" s="4" t="s">
        <v>40</v>
      </c>
      <c r="D12" s="4" t="s">
        <v>49</v>
      </c>
      <c r="E12" s="26">
        <v>33920</v>
      </c>
      <c r="F12" s="6">
        <v>45077</v>
      </c>
      <c r="G12" s="10" t="str">
        <f t="shared" si="0"/>
        <v>10%Discount</v>
      </c>
      <c r="H12" s="12" t="str">
        <f t="shared" si="1"/>
        <v>Eligbile</v>
      </c>
      <c r="I12" s="24">
        <f t="shared" si="2"/>
        <v>34000</v>
      </c>
      <c r="J12" s="12">
        <f t="shared" si="3"/>
        <v>33900</v>
      </c>
    </row>
    <row r="13" spans="1:17" ht="17.399999999999999" customHeight="1" thickBot="1" x14ac:dyDescent="0.35">
      <c r="A13" s="3">
        <v>2012</v>
      </c>
      <c r="B13" s="4" t="s">
        <v>50</v>
      </c>
      <c r="C13" s="4" t="s">
        <v>42</v>
      </c>
      <c r="D13" s="4" t="s">
        <v>51</v>
      </c>
      <c r="E13" s="26">
        <v>35611</v>
      </c>
      <c r="F13" s="6">
        <v>45092</v>
      </c>
      <c r="G13" s="10" t="str">
        <f t="shared" si="0"/>
        <v>10%Discount</v>
      </c>
      <c r="H13" s="12" t="str">
        <f t="shared" si="1"/>
        <v>Eligbile</v>
      </c>
      <c r="I13" s="24">
        <f t="shared" si="2"/>
        <v>35700</v>
      </c>
      <c r="J13" s="12">
        <f t="shared" si="3"/>
        <v>35600</v>
      </c>
    </row>
    <row r="14" spans="1:17" ht="17.399999999999999" customHeight="1" thickBot="1" x14ac:dyDescent="0.35">
      <c r="A14" s="3">
        <v>2013</v>
      </c>
      <c r="B14" s="4" t="s">
        <v>52</v>
      </c>
      <c r="C14" s="4" t="s">
        <v>40</v>
      </c>
      <c r="D14" s="4" t="s">
        <v>53</v>
      </c>
      <c r="E14" s="26">
        <v>15560</v>
      </c>
      <c r="F14" s="6">
        <v>45107</v>
      </c>
      <c r="G14" s="10" t="str">
        <f t="shared" si="0"/>
        <v>5%Discount</v>
      </c>
      <c r="H14" s="12" t="str">
        <f t="shared" si="1"/>
        <v>Not eligbile</v>
      </c>
      <c r="I14" s="24">
        <f t="shared" si="2"/>
        <v>15600</v>
      </c>
      <c r="J14" s="12">
        <f t="shared" si="3"/>
        <v>15500</v>
      </c>
    </row>
    <row r="15" spans="1:17" ht="16.8" customHeight="1" thickBot="1" x14ac:dyDescent="0.35">
      <c r="A15" s="3">
        <v>2014</v>
      </c>
      <c r="B15" s="4" t="s">
        <v>52</v>
      </c>
      <c r="C15" s="4" t="s">
        <v>33</v>
      </c>
      <c r="D15" s="4" t="s">
        <v>54</v>
      </c>
      <c r="E15" s="26">
        <v>7283</v>
      </c>
      <c r="F15" s="6">
        <v>45122</v>
      </c>
      <c r="G15" s="10" t="str">
        <f t="shared" si="0"/>
        <v>No Discount</v>
      </c>
      <c r="H15" s="12" t="str">
        <f t="shared" si="1"/>
        <v>Eligbile</v>
      </c>
      <c r="I15" s="24">
        <f t="shared" si="2"/>
        <v>7300</v>
      </c>
      <c r="J15" s="12">
        <f t="shared" si="3"/>
        <v>7200</v>
      </c>
    </row>
    <row r="16" spans="1:17" ht="17.399999999999999" customHeight="1" thickBot="1" x14ac:dyDescent="0.35">
      <c r="A16" s="3">
        <v>2015</v>
      </c>
      <c r="B16" s="4" t="s">
        <v>52</v>
      </c>
      <c r="C16" s="4" t="s">
        <v>40</v>
      </c>
      <c r="D16" s="4" t="s">
        <v>55</v>
      </c>
      <c r="E16" s="26">
        <v>15678</v>
      </c>
      <c r="F16" s="6">
        <v>45137</v>
      </c>
      <c r="G16" s="10" t="str">
        <f t="shared" si="0"/>
        <v>5%Discount</v>
      </c>
      <c r="H16" s="12" t="str">
        <f t="shared" si="1"/>
        <v>Not eligbile</v>
      </c>
      <c r="I16" s="24">
        <f t="shared" si="2"/>
        <v>15700</v>
      </c>
      <c r="J16" s="12">
        <f t="shared" si="3"/>
        <v>15600</v>
      </c>
    </row>
    <row r="17" spans="1:13" ht="16.8" customHeight="1" thickBot="1" x14ac:dyDescent="0.35">
      <c r="A17" s="3">
        <v>2016</v>
      </c>
      <c r="B17" s="4" t="s">
        <v>38</v>
      </c>
      <c r="C17" s="4" t="s">
        <v>40</v>
      </c>
      <c r="D17" s="4" t="s">
        <v>56</v>
      </c>
      <c r="E17" s="26">
        <v>5277</v>
      </c>
      <c r="F17" s="6">
        <v>45152</v>
      </c>
      <c r="G17" s="10" t="str">
        <f t="shared" si="0"/>
        <v>No Discount</v>
      </c>
      <c r="H17" s="12" t="str">
        <f t="shared" si="1"/>
        <v>Not eligbile</v>
      </c>
      <c r="I17" s="24">
        <f t="shared" si="2"/>
        <v>5300</v>
      </c>
      <c r="J17" s="12">
        <f t="shared" si="3"/>
        <v>5200</v>
      </c>
    </row>
    <row r="18" spans="1:13" ht="17.399999999999999" customHeight="1" thickBot="1" x14ac:dyDescent="0.35">
      <c r="A18" s="3">
        <v>2017</v>
      </c>
      <c r="B18" s="4" t="s">
        <v>50</v>
      </c>
      <c r="C18" s="4" t="s">
        <v>42</v>
      </c>
      <c r="D18" s="4" t="s">
        <v>57</v>
      </c>
      <c r="E18" s="26">
        <v>41871</v>
      </c>
      <c r="F18" s="6">
        <v>45167</v>
      </c>
      <c r="G18" s="10" t="str">
        <f t="shared" si="0"/>
        <v>10%Discount</v>
      </c>
      <c r="H18" s="12" t="str">
        <f t="shared" si="1"/>
        <v>Eligbile</v>
      </c>
      <c r="I18" s="24">
        <f t="shared" si="2"/>
        <v>41900</v>
      </c>
      <c r="J18" s="12">
        <f t="shared" si="3"/>
        <v>41800</v>
      </c>
    </row>
    <row r="19" spans="1:13" ht="16.8" customHeight="1" thickBot="1" x14ac:dyDescent="0.35">
      <c r="A19" s="3">
        <v>2018</v>
      </c>
      <c r="B19" s="4" t="s">
        <v>50</v>
      </c>
      <c r="C19" s="4" t="s">
        <v>36</v>
      </c>
      <c r="D19" s="4" t="s">
        <v>58</v>
      </c>
      <c r="E19" s="26">
        <v>38161</v>
      </c>
      <c r="F19" s="6">
        <v>45182</v>
      </c>
      <c r="G19" s="10" t="str">
        <f t="shared" si="0"/>
        <v>10%Discount</v>
      </c>
      <c r="H19" s="12" t="str">
        <f t="shared" si="1"/>
        <v>Eligbile</v>
      </c>
      <c r="I19" s="24">
        <f t="shared" si="2"/>
        <v>38200</v>
      </c>
      <c r="J19" s="12">
        <f t="shared" si="3"/>
        <v>38100</v>
      </c>
    </row>
    <row r="20" spans="1:13" ht="15.6" customHeight="1" thickBot="1" x14ac:dyDescent="0.35">
      <c r="A20" s="3">
        <v>2019</v>
      </c>
      <c r="B20" s="4" t="s">
        <v>38</v>
      </c>
      <c r="C20" s="4" t="s">
        <v>36</v>
      </c>
      <c r="D20" s="4" t="s">
        <v>59</v>
      </c>
      <c r="E20" s="26">
        <v>30436</v>
      </c>
      <c r="F20" s="6">
        <v>45197</v>
      </c>
      <c r="G20" s="10" t="str">
        <f t="shared" si="0"/>
        <v>10%Discount</v>
      </c>
      <c r="H20" s="12" t="str">
        <f t="shared" si="1"/>
        <v>Eligbile</v>
      </c>
      <c r="I20" s="24">
        <f t="shared" si="2"/>
        <v>30500</v>
      </c>
      <c r="J20" s="12">
        <f t="shared" si="3"/>
        <v>30400</v>
      </c>
    </row>
    <row r="21" spans="1:13" ht="18" customHeight="1" thickBot="1" x14ac:dyDescent="0.35">
      <c r="A21" s="3">
        <v>2020</v>
      </c>
      <c r="B21" s="4" t="s">
        <v>35</v>
      </c>
      <c r="C21" s="4" t="s">
        <v>36</v>
      </c>
      <c r="D21" s="4" t="s">
        <v>60</v>
      </c>
      <c r="E21" s="26">
        <v>33953</v>
      </c>
      <c r="F21" s="6">
        <v>45212</v>
      </c>
      <c r="G21" s="10" t="str">
        <f t="shared" si="0"/>
        <v>10%Discount</v>
      </c>
      <c r="H21" s="12" t="str">
        <f t="shared" si="1"/>
        <v>Eligbile</v>
      </c>
      <c r="I21" s="24">
        <f t="shared" si="2"/>
        <v>34000</v>
      </c>
      <c r="J21" s="12">
        <f t="shared" si="3"/>
        <v>33900</v>
      </c>
    </row>
    <row r="22" spans="1:13" ht="18" customHeight="1" x14ac:dyDescent="0.3">
      <c r="A22" s="19"/>
      <c r="B22" s="19"/>
      <c r="C22" s="19"/>
      <c r="D22" s="19"/>
      <c r="E22" s="19"/>
      <c r="F22" s="5"/>
      <c r="G22" s="5"/>
      <c r="I22" s="13"/>
      <c r="J22" s="13"/>
      <c r="K22" s="13"/>
      <c r="L22" s="13"/>
      <c r="M22" s="13"/>
    </row>
    <row r="23" spans="1:13" ht="18" customHeight="1" x14ac:dyDescent="0.3">
      <c r="A23" s="19"/>
      <c r="B23" s="19"/>
      <c r="C23" s="19"/>
      <c r="D23" s="19"/>
      <c r="E23" s="19"/>
      <c r="F23" s="5"/>
      <c r="G23" s="5"/>
      <c r="I23" s="13"/>
      <c r="J23" s="13"/>
      <c r="K23" s="13"/>
      <c r="L23" s="13"/>
      <c r="M23" s="13"/>
    </row>
    <row r="24" spans="1:13" ht="15" thickBot="1" x14ac:dyDescent="0.35"/>
    <row r="25" spans="1:13" ht="43.8" thickBot="1" x14ac:dyDescent="0.35">
      <c r="B25" s="42" t="s">
        <v>100</v>
      </c>
      <c r="C25" s="44" t="s">
        <v>101</v>
      </c>
      <c r="D25" s="45" t="s">
        <v>102</v>
      </c>
      <c r="E25" s="45" t="s">
        <v>103</v>
      </c>
      <c r="F25" s="45" t="s">
        <v>107</v>
      </c>
      <c r="G25" s="45" t="s">
        <v>104</v>
      </c>
      <c r="H25" s="45" t="s">
        <v>105</v>
      </c>
      <c r="I25" s="46" t="s">
        <v>106</v>
      </c>
      <c r="J25" s="42" t="s">
        <v>119</v>
      </c>
    </row>
    <row r="26" spans="1:13" ht="15" thickBot="1" x14ac:dyDescent="0.35">
      <c r="B26" s="25">
        <f>_xlfn.XMATCH(B2,B2:B21,0)</f>
        <v>1</v>
      </c>
      <c r="C26" s="12"/>
      <c r="D26" s="12">
        <f ca="1">OFFSET(E2,1,0)</f>
        <v>17428</v>
      </c>
      <c r="E26" s="12">
        <f>ROUND(E2,0)</f>
        <v>7048</v>
      </c>
      <c r="F26" s="12">
        <f>F3-F2</f>
        <v>15</v>
      </c>
      <c r="G26" s="12" cm="1">
        <f t="array" aca="1" ref="G26" ca="1">INDIRECT(Q2)</f>
        <v>7048</v>
      </c>
      <c r="H26" s="37">
        <f>VLOOKUP(A3,A2:F21,5,FALSE)</f>
        <v>17428</v>
      </c>
      <c r="I26" s="12" t="str">
        <f>TEXT(F2,"dd-mmm-yyyy")</f>
        <v>01-Jan-2023</v>
      </c>
      <c r="J26" s="12" cm="1">
        <f t="array" aca="1" ref="J26" ca="1">INDIRECT(A29)</f>
        <v>2001</v>
      </c>
    </row>
    <row r="29" spans="1:13" x14ac:dyDescent="0.3">
      <c r="A29" t="s">
        <v>120</v>
      </c>
    </row>
    <row r="33" spans="9:9" x14ac:dyDescent="0.3">
      <c r="I33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1D97-13FE-4151-A7FA-6F65E544D112}">
  <dimension ref="A1:Q21"/>
  <sheetViews>
    <sheetView tabSelected="1" zoomScaleNormal="100" workbookViewId="0">
      <selection activeCell="M13" sqref="M13"/>
    </sheetView>
  </sheetViews>
  <sheetFormatPr defaultRowHeight="14.4" x14ac:dyDescent="0.3"/>
  <cols>
    <col min="1" max="1" width="13.6640625" style="20" customWidth="1"/>
    <col min="2" max="2" width="12.5546875" style="20" customWidth="1"/>
    <col min="3" max="3" width="11.33203125" style="20" customWidth="1"/>
    <col min="4" max="4" width="12.33203125" style="20" bestFit="1" customWidth="1"/>
    <col min="5" max="5" width="15.44140625" style="20" customWidth="1"/>
    <col min="6" max="6" width="8.33203125" style="20" bestFit="1" customWidth="1"/>
    <col min="7" max="7" width="13.6640625" style="20" bestFit="1" customWidth="1"/>
    <col min="8" max="8" width="10.44140625" style="20" customWidth="1"/>
    <col min="9" max="9" width="17.33203125" style="20" bestFit="1" customWidth="1"/>
    <col min="10" max="10" width="14.109375" style="20" bestFit="1" customWidth="1"/>
    <col min="11" max="11" width="21.6640625" style="20" bestFit="1" customWidth="1"/>
    <col min="12" max="12" width="14.44140625" style="20" bestFit="1" customWidth="1"/>
    <col min="13" max="13" width="27.109375" style="20" bestFit="1" customWidth="1"/>
    <col min="14" max="14" width="18.5546875" style="20" bestFit="1" customWidth="1"/>
    <col min="15" max="15" width="24.88671875" style="20" bestFit="1" customWidth="1"/>
    <col min="16" max="16" width="15.77734375" style="20" bestFit="1" customWidth="1"/>
    <col min="17" max="17" width="21.77734375" style="20" bestFit="1" customWidth="1"/>
    <col min="18" max="16384" width="8.88671875" style="20"/>
  </cols>
  <sheetData>
    <row r="1" spans="1:17" ht="15" thickBot="1" x14ac:dyDescent="0.35">
      <c r="A1" s="1" t="s">
        <v>61</v>
      </c>
      <c r="B1" s="2" t="s">
        <v>1</v>
      </c>
      <c r="C1" s="2" t="s">
        <v>62</v>
      </c>
      <c r="D1" s="2" t="s">
        <v>63</v>
      </c>
      <c r="E1" s="15" t="s">
        <v>64</v>
      </c>
      <c r="F1" s="38" t="s">
        <v>127</v>
      </c>
      <c r="G1" s="47" t="s">
        <v>128</v>
      </c>
      <c r="H1" s="27"/>
      <c r="I1" s="43" t="s">
        <v>108</v>
      </c>
      <c r="K1" s="43" t="s">
        <v>116</v>
      </c>
    </row>
    <row r="2" spans="1:17" ht="15" thickBot="1" x14ac:dyDescent="0.35">
      <c r="A2" s="3">
        <v>3001</v>
      </c>
      <c r="B2" s="4" t="s">
        <v>65</v>
      </c>
      <c r="C2" s="4" t="s">
        <v>66</v>
      </c>
      <c r="D2" s="48">
        <v>86766</v>
      </c>
      <c r="E2" s="17">
        <v>42005</v>
      </c>
      <c r="F2" s="22">
        <f>D2*10%</f>
        <v>8676.6</v>
      </c>
      <c r="G2" s="28">
        <f>D2+F2</f>
        <v>95442.6</v>
      </c>
      <c r="H2" s="29"/>
      <c r="I2" s="22">
        <f>_xlfn.XLOOKUP(A3,A2:A21,D2:D21,"Not Found")</f>
        <v>31943</v>
      </c>
      <c r="J2" s="29"/>
      <c r="K2" s="30">
        <f ca="1">TODAY()-E2</f>
        <v>4306</v>
      </c>
    </row>
    <row r="3" spans="1:17" ht="15" thickBot="1" x14ac:dyDescent="0.35">
      <c r="A3" s="3">
        <v>3002</v>
      </c>
      <c r="B3" s="4" t="s">
        <v>67</v>
      </c>
      <c r="C3" s="4" t="s">
        <v>66</v>
      </c>
      <c r="D3" s="49">
        <v>31943</v>
      </c>
      <c r="E3" s="18">
        <v>42255</v>
      </c>
      <c r="F3" s="31">
        <f t="shared" ref="F3:F21" si="0">D3*10%</f>
        <v>3194.3</v>
      </c>
      <c r="G3" s="32">
        <f t="shared" ref="G3:G21" si="1">D3+F3</f>
        <v>35137.300000000003</v>
      </c>
      <c r="H3" s="29"/>
      <c r="I3" s="22">
        <f>_xlfn.XLOOKUP(A2,A2:A21,E2:E21,"Not Found")</f>
        <v>42005</v>
      </c>
    </row>
    <row r="4" spans="1:17" ht="15" thickBot="1" x14ac:dyDescent="0.35">
      <c r="A4" s="3">
        <v>3003</v>
      </c>
      <c r="B4" s="4" t="s">
        <v>68</v>
      </c>
      <c r="C4" s="4" t="s">
        <v>69</v>
      </c>
      <c r="D4" s="48">
        <v>63374</v>
      </c>
      <c r="E4" s="17">
        <v>42505</v>
      </c>
      <c r="F4" s="22">
        <f t="shared" si="0"/>
        <v>6337.4000000000005</v>
      </c>
      <c r="G4" s="28">
        <f t="shared" si="1"/>
        <v>69711.399999999994</v>
      </c>
      <c r="H4" s="29"/>
      <c r="I4" s="43" t="s">
        <v>105</v>
      </c>
      <c r="J4" s="43" t="s">
        <v>109</v>
      </c>
      <c r="K4" s="43" t="s">
        <v>115</v>
      </c>
      <c r="L4" s="43" t="s">
        <v>110</v>
      </c>
      <c r="M4" s="43" t="s">
        <v>111</v>
      </c>
      <c r="N4" s="43" t="s">
        <v>112</v>
      </c>
      <c r="O4" s="43" t="s">
        <v>113</v>
      </c>
      <c r="P4" s="43" t="s">
        <v>114</v>
      </c>
    </row>
    <row r="5" spans="1:17" ht="15" thickBot="1" x14ac:dyDescent="0.35">
      <c r="A5" s="3">
        <v>3004</v>
      </c>
      <c r="B5" s="4" t="s">
        <v>70</v>
      </c>
      <c r="C5" s="4" t="s">
        <v>66</v>
      </c>
      <c r="D5" s="48">
        <v>109972</v>
      </c>
      <c r="E5" s="17">
        <v>42755</v>
      </c>
      <c r="F5" s="22">
        <f t="shared" si="0"/>
        <v>10997.2</v>
      </c>
      <c r="G5" s="28">
        <f t="shared" si="1"/>
        <v>120969.2</v>
      </c>
      <c r="H5" s="29"/>
      <c r="I5" s="22" t="str">
        <f>VLOOKUP(A2,A2:E21,2,FALSE)</f>
        <v>Employee 1</v>
      </c>
      <c r="J5" s="22">
        <f>INDEX(D2:D21,MATCH(A2,A2:A21,0))</f>
        <v>86766</v>
      </c>
      <c r="K5" s="22">
        <f>D2+J1</f>
        <v>86766</v>
      </c>
      <c r="L5" s="22">
        <f>SUMIFS(D2:D21,C2:C21,"HR")</f>
        <v>417713</v>
      </c>
      <c r="M5" s="22">
        <f>COUNTIFS(C2:C21,"Finance")</f>
        <v>6</v>
      </c>
      <c r="N5" s="22">
        <f>COUNTIFS(C2:C21,"IT")</f>
        <v>5</v>
      </c>
      <c r="O5" s="22">
        <f>AVERAGEIFS(D2:D21,C2:C21,"Finance")</f>
        <v>80952.333333333328</v>
      </c>
      <c r="P5" s="22">
        <f ca="1">DATEDIF(E2,TODAY(),"y")</f>
        <v>11</v>
      </c>
    </row>
    <row r="6" spans="1:17" ht="15" thickBot="1" x14ac:dyDescent="0.35">
      <c r="A6" s="3">
        <v>3005</v>
      </c>
      <c r="B6" s="4" t="s">
        <v>71</v>
      </c>
      <c r="C6" s="4" t="s">
        <v>72</v>
      </c>
      <c r="D6" s="49">
        <v>54149</v>
      </c>
      <c r="E6" s="18">
        <v>43005</v>
      </c>
      <c r="F6" s="22">
        <f t="shared" si="0"/>
        <v>5414.9000000000005</v>
      </c>
      <c r="G6" s="33">
        <f t="shared" si="1"/>
        <v>59563.9</v>
      </c>
      <c r="H6" s="29"/>
    </row>
    <row r="7" spans="1:17" ht="15" thickBot="1" x14ac:dyDescent="0.35">
      <c r="A7" s="3">
        <v>3006</v>
      </c>
      <c r="B7" s="4" t="s">
        <v>73</v>
      </c>
      <c r="C7" s="4" t="s">
        <v>72</v>
      </c>
      <c r="D7" s="48">
        <v>78689</v>
      </c>
      <c r="E7" s="17">
        <v>43255</v>
      </c>
      <c r="F7" s="22">
        <f t="shared" si="0"/>
        <v>7868.9000000000005</v>
      </c>
      <c r="G7" s="22">
        <f t="shared" si="1"/>
        <v>86557.9</v>
      </c>
      <c r="H7" s="29"/>
      <c r="I7" s="43" t="s">
        <v>117</v>
      </c>
      <c r="K7" s="43" t="s">
        <v>123</v>
      </c>
      <c r="M7" s="43" t="s">
        <v>124</v>
      </c>
      <c r="O7" s="43" t="s">
        <v>125</v>
      </c>
      <c r="Q7" s="43" t="s">
        <v>126</v>
      </c>
    </row>
    <row r="8" spans="1:17" ht="15" thickBot="1" x14ac:dyDescent="0.35">
      <c r="A8" s="3">
        <v>3007</v>
      </c>
      <c r="B8" s="4" t="s">
        <v>74</v>
      </c>
      <c r="C8" s="4" t="s">
        <v>75</v>
      </c>
      <c r="D8" s="49">
        <v>35960</v>
      </c>
      <c r="E8" s="16">
        <v>43505</v>
      </c>
      <c r="F8" s="22">
        <f t="shared" si="0"/>
        <v>3596</v>
      </c>
      <c r="G8" s="22">
        <f t="shared" si="1"/>
        <v>39556</v>
      </c>
      <c r="H8" s="29"/>
      <c r="I8" s="22" t="str">
        <f>_xlfn.XLOOKUP(A2,A2:A21,C2:C21,"Not Found")</f>
        <v>Finance</v>
      </c>
      <c r="K8" s="22">
        <f>INDEX(D2:D21,MATCH(A2,A2:A21,0))</f>
        <v>86766</v>
      </c>
      <c r="M8" s="22" t="str">
        <f>INDEX(C2:C21,MATCH(A2,A2:A21,0))</f>
        <v>Finance</v>
      </c>
      <c r="O8" s="34">
        <f>SUMIFS(D2:D21,C2:C21,"Finance")</f>
        <v>485714</v>
      </c>
      <c r="Q8" s="22">
        <f>SUMIFS(D2:D21,C2:C21,"HR")</f>
        <v>417713</v>
      </c>
    </row>
    <row r="9" spans="1:17" ht="15" thickBot="1" x14ac:dyDescent="0.35">
      <c r="A9" s="3">
        <v>3008</v>
      </c>
      <c r="B9" s="4" t="s">
        <v>76</v>
      </c>
      <c r="C9" s="4" t="s">
        <v>72</v>
      </c>
      <c r="D9" s="49">
        <v>91659</v>
      </c>
      <c r="E9" s="6">
        <v>43755</v>
      </c>
      <c r="F9" s="22">
        <f t="shared" si="0"/>
        <v>9165.9</v>
      </c>
      <c r="G9" s="22">
        <f t="shared" si="1"/>
        <v>100824.9</v>
      </c>
      <c r="H9" s="29"/>
    </row>
    <row r="10" spans="1:17" ht="15" thickBot="1" x14ac:dyDescent="0.35">
      <c r="A10" s="3">
        <v>3009</v>
      </c>
      <c r="B10" s="4" t="s">
        <v>77</v>
      </c>
      <c r="C10" s="4" t="s">
        <v>72</v>
      </c>
      <c r="D10" s="49">
        <v>90423</v>
      </c>
      <c r="E10" s="6">
        <v>44005</v>
      </c>
      <c r="F10" s="22">
        <f t="shared" si="0"/>
        <v>9042.3000000000011</v>
      </c>
      <c r="G10" s="22">
        <f t="shared" si="1"/>
        <v>99465.3</v>
      </c>
      <c r="H10" s="29"/>
    </row>
    <row r="11" spans="1:17" ht="15" thickBot="1" x14ac:dyDescent="0.35">
      <c r="A11" s="3">
        <v>3010</v>
      </c>
      <c r="B11" s="4" t="s">
        <v>78</v>
      </c>
      <c r="C11" s="4" t="s">
        <v>69</v>
      </c>
      <c r="D11" s="49">
        <v>107877</v>
      </c>
      <c r="E11" s="6">
        <v>44255</v>
      </c>
      <c r="F11" s="22">
        <f t="shared" si="0"/>
        <v>10787.7</v>
      </c>
      <c r="G11" s="22">
        <f t="shared" si="1"/>
        <v>118664.7</v>
      </c>
      <c r="H11" s="29"/>
    </row>
    <row r="12" spans="1:17" ht="15" thickBot="1" x14ac:dyDescent="0.35">
      <c r="A12" s="3">
        <v>3011</v>
      </c>
      <c r="B12" s="4" t="s">
        <v>79</v>
      </c>
      <c r="C12" s="4" t="s">
        <v>66</v>
      </c>
      <c r="D12" s="49">
        <v>107634</v>
      </c>
      <c r="E12" s="6">
        <v>44505</v>
      </c>
      <c r="F12" s="22">
        <f t="shared" si="0"/>
        <v>10763.400000000001</v>
      </c>
      <c r="G12" s="22">
        <f t="shared" si="1"/>
        <v>118397.4</v>
      </c>
      <c r="H12" s="29"/>
    </row>
    <row r="13" spans="1:17" ht="15" thickBot="1" x14ac:dyDescent="0.35">
      <c r="A13" s="3">
        <v>3012</v>
      </c>
      <c r="B13" s="4" t="s">
        <v>80</v>
      </c>
      <c r="C13" s="4" t="s">
        <v>66</v>
      </c>
      <c r="D13" s="49">
        <v>35226</v>
      </c>
      <c r="E13" s="6">
        <v>44755</v>
      </c>
      <c r="F13" s="22">
        <f t="shared" si="0"/>
        <v>3522.6000000000004</v>
      </c>
      <c r="G13" s="22">
        <f t="shared" si="1"/>
        <v>38748.6</v>
      </c>
      <c r="H13" s="29"/>
    </row>
    <row r="14" spans="1:17" ht="15" thickBot="1" x14ac:dyDescent="0.35">
      <c r="A14" s="3">
        <v>3013</v>
      </c>
      <c r="B14" s="4" t="s">
        <v>81</v>
      </c>
      <c r="C14" s="4" t="s">
        <v>69</v>
      </c>
      <c r="D14" s="49">
        <v>40872</v>
      </c>
      <c r="E14" s="6">
        <v>45005</v>
      </c>
      <c r="F14" s="22">
        <f t="shared" si="0"/>
        <v>4087.2000000000003</v>
      </c>
      <c r="G14" s="22">
        <f t="shared" si="1"/>
        <v>44959.199999999997</v>
      </c>
      <c r="H14" s="29"/>
    </row>
    <row r="15" spans="1:17" ht="15" thickBot="1" x14ac:dyDescent="0.35">
      <c r="A15" s="3">
        <v>3014</v>
      </c>
      <c r="B15" s="4" t="s">
        <v>82</v>
      </c>
      <c r="C15" s="4" t="s">
        <v>69</v>
      </c>
      <c r="D15" s="49">
        <v>55378</v>
      </c>
      <c r="E15" s="6">
        <v>45255</v>
      </c>
      <c r="F15" s="22">
        <f t="shared" si="0"/>
        <v>5537.8</v>
      </c>
      <c r="G15" s="22">
        <f t="shared" si="1"/>
        <v>60915.8</v>
      </c>
      <c r="H15" s="29"/>
    </row>
    <row r="16" spans="1:17" ht="15" thickBot="1" x14ac:dyDescent="0.35">
      <c r="A16" s="3">
        <v>3015</v>
      </c>
      <c r="B16" s="4" t="s">
        <v>83</v>
      </c>
      <c r="C16" s="4" t="s">
        <v>69</v>
      </c>
      <c r="D16" s="49">
        <v>63297</v>
      </c>
      <c r="E16" s="6">
        <v>45505</v>
      </c>
      <c r="F16" s="22">
        <f t="shared" si="0"/>
        <v>6329.7000000000007</v>
      </c>
      <c r="G16" s="22">
        <f t="shared" si="1"/>
        <v>69626.7</v>
      </c>
      <c r="H16" s="29"/>
    </row>
    <row r="17" spans="1:8" ht="15" thickBot="1" x14ac:dyDescent="0.35">
      <c r="A17" s="3">
        <v>3016</v>
      </c>
      <c r="B17" s="4" t="s">
        <v>84</v>
      </c>
      <c r="C17" s="4" t="s">
        <v>66</v>
      </c>
      <c r="D17" s="49">
        <v>114173</v>
      </c>
      <c r="E17" s="6">
        <v>45755</v>
      </c>
      <c r="F17" s="35">
        <f t="shared" si="0"/>
        <v>11417.300000000001</v>
      </c>
      <c r="G17" s="22">
        <f t="shared" si="1"/>
        <v>125590.3</v>
      </c>
      <c r="H17" s="29"/>
    </row>
    <row r="18" spans="1:8" ht="15" thickBot="1" x14ac:dyDescent="0.35">
      <c r="A18" s="3">
        <v>3017</v>
      </c>
      <c r="B18" s="4" t="s">
        <v>85</v>
      </c>
      <c r="C18" s="4" t="s">
        <v>69</v>
      </c>
      <c r="D18" s="49">
        <v>86915</v>
      </c>
      <c r="E18" s="6">
        <v>46005</v>
      </c>
      <c r="F18" s="22">
        <f t="shared" si="0"/>
        <v>8691.5</v>
      </c>
      <c r="G18" s="22">
        <f t="shared" si="1"/>
        <v>95606.5</v>
      </c>
      <c r="H18" s="29"/>
    </row>
    <row r="19" spans="1:8" ht="15" thickBot="1" x14ac:dyDescent="0.35">
      <c r="A19" s="3">
        <v>3018</v>
      </c>
      <c r="B19" s="4" t="s">
        <v>86</v>
      </c>
      <c r="C19" s="4" t="s">
        <v>72</v>
      </c>
      <c r="D19" s="49">
        <v>116284</v>
      </c>
      <c r="E19" s="6">
        <v>46255</v>
      </c>
      <c r="F19" s="22">
        <f t="shared" si="0"/>
        <v>11628.400000000001</v>
      </c>
      <c r="G19" s="22">
        <f t="shared" si="1"/>
        <v>127912.4</v>
      </c>
      <c r="H19" s="29"/>
    </row>
    <row r="20" spans="1:8" ht="15" thickBot="1" x14ac:dyDescent="0.35">
      <c r="A20" s="3">
        <v>3019</v>
      </c>
      <c r="B20" s="4" t="s">
        <v>87</v>
      </c>
      <c r="C20" s="4" t="s">
        <v>75</v>
      </c>
      <c r="D20" s="49">
        <v>116283</v>
      </c>
      <c r="E20" s="6">
        <v>46505</v>
      </c>
      <c r="F20" s="22">
        <f t="shared" si="0"/>
        <v>11628.300000000001</v>
      </c>
      <c r="G20" s="22">
        <f t="shared" si="1"/>
        <v>127911.3</v>
      </c>
      <c r="H20" s="29"/>
    </row>
    <row r="21" spans="1:8" ht="15" thickBot="1" x14ac:dyDescent="0.35">
      <c r="A21" s="3">
        <v>3020</v>
      </c>
      <c r="B21" s="4" t="s">
        <v>88</v>
      </c>
      <c r="C21" s="4" t="s">
        <v>75</v>
      </c>
      <c r="D21" s="49">
        <v>99924</v>
      </c>
      <c r="E21" s="6">
        <v>46755</v>
      </c>
      <c r="F21" s="22">
        <f t="shared" si="0"/>
        <v>9992.4000000000015</v>
      </c>
      <c r="G21" s="36">
        <f t="shared" si="1"/>
        <v>109916.4</v>
      </c>
      <c r="H2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Bhavsar Krunal</dc:creator>
  <cp:lastModifiedBy>Bhavsar Krunal</cp:lastModifiedBy>
  <dcterms:created xsi:type="dcterms:W3CDTF">2026-10-13T05:23:22Z</dcterms:created>
  <dcterms:modified xsi:type="dcterms:W3CDTF">2026-10-16T05:05:40Z</dcterms:modified>
</cp:coreProperties>
</file>